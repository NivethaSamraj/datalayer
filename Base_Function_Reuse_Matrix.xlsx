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enario Matrix" sheetId="2" state="visible" r:id="rId4"/>
    <sheet name="Effort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<sst xmlns="http://schemas.openxmlformats.org/spreadsheetml/2006/main" count="436" uniqueCount="130">
  <si>
    <t xml:space="preserve">Base-Function Reuse Matrix — 9 Brand Retail Automation</t>
  </si>
  <si>
    <t xml:space="preserve">Purpose</t>
  </si>
  <si>
    <t xml:space="preserve">Identify which test scenarios behave identically across all 9 brands so they can be written once in a base page object and reused, versus which are brand- or platform-specific and need overrides.</t>
  </si>
  <si>
    <t xml:space="preserve">How to read the matrix (tab: Scenario Matrix)</t>
  </si>
  <si>
    <t xml:space="preserve">Each row is a scenario (a user intent). Each brand column is colour-coded:</t>
  </si>
  <si>
    <t xml:space="preserve">   GREEN  = Shared. Identical behaviour + selectors. Lives once in the base page function.</t>
  </si>
  <si>
    <t xml:space="preserve">   AMBER  = Shared scenario, brand-specific selectors. Same base function, locator override per brand.</t>
  </si>
  <si>
    <t xml:space="preserve">   RED    = Brand/platform specific. Needs its own implementation.</t>
  </si>
  <si>
    <t xml:space="preserve">   GREY   = Not applicable to this brand.</t>
  </si>
  <si>
    <t xml:space="preserve">Key architectural point (because platforms are mixed)</t>
  </si>
  <si>
    <t xml:space="preserve">'Run once' splits by PLATFORM, not just by brand. A scenario is only truly write-once across brands that share a platform (e.g. the SFCC brands). The user *intent* is shared across all 9, but the implementation layer should be: Base (per platform) -&gt; Brand override (selectors/copy). This mirrors the existing pattern in the codebase: checkoutBasePage + talbotsCheckoutPage / ann_taylorCheckoutPage overrides.</t>
  </si>
  <si>
    <t xml:space="preserve">Recommended layering</t>
  </si>
  <si>
    <t xml:space="preserve">   1. Scenario layer  - platform-agnostic test steps (the 'what'). Written once, total.</t>
  </si>
  <si>
    <t xml:space="preserve">   2. Base page layer - one per platform (SFCC base, other-platform base). The 'how'.</t>
  </si>
  <si>
    <t xml:space="preserve">   3. Override layer  - per-brand locators / copy / flags only where they differ.</t>
  </si>
  <si>
    <t xml:space="preserve">Effort summary tab quantifies how many scenarios fall into each bucket.</t>
  </si>
  <si>
    <t xml:space="preserve">ACTION NEEDED: confirm the 9th brand and the exact platform per brand. Platform mapping below is a starting assumption and drives every reuse decision in this workbook.</t>
  </si>
  <si>
    <t xml:space="preserve">Legend</t>
  </si>
  <si>
    <t xml:space="preserve">Shared — base function, no override</t>
  </si>
  <si>
    <t xml:space="preserve">Shared scenario — brand-specific selectors (override)</t>
  </si>
  <si>
    <t xml:space="preserve">Brand / platform specific</t>
  </si>
  <si>
    <t xml:space="preserve">Not applicable</t>
  </si>
  <si>
    <t xml:space="preserve">Scenario x Brand Reuse Matrix  (colour = reuse level)</t>
  </si>
  <si>
    <t xml:space="preserve">Scenario</t>
  </si>
  <si>
    <t xml:space="preserve">Proposed base function</t>
  </si>
  <si>
    <t xml:space="preserve">Ann Taylor
[SFCC]</t>
  </si>
  <si>
    <t xml:space="preserve">LOFT
[SFCC]</t>
  </si>
  <si>
    <t xml:space="preserve">Lane Bryant
[SFCC]</t>
  </si>
  <si>
    <t xml:space="preserve">Talbots
[SFCC]</t>
  </si>
  <si>
    <t xml:space="preserve">Haven Well Within
[SFCC]</t>
  </si>
  <si>
    <t xml:space="preserve">Chico's
[Salesforce SC / other]</t>
  </si>
  <si>
    <t xml:space="preserve">White House Black Market
[other]</t>
  </si>
  <si>
    <t xml:space="preserve">Soma
[other]</t>
  </si>
  <si>
    <t xml:space="preserve">Brand 9 (confirm)
[confirm]</t>
  </si>
  <si>
    <t xml:space="preserve">Discovery / Navigation</t>
  </si>
  <si>
    <t xml:space="preserve">Open home page</t>
  </si>
  <si>
    <t xml:space="preserve">homePage.open()</t>
  </si>
  <si>
    <t xml:space="preserve">Shared</t>
  </si>
  <si>
    <t xml:space="preserve">N/A</t>
  </si>
  <si>
    <t xml:space="preserve">Global header search</t>
  </si>
  <si>
    <t xml:space="preserve">header.search(term)</t>
  </si>
  <si>
    <t xml:space="preserve">Override</t>
  </si>
  <si>
    <t xml:space="preserve">Navigate to PLP by category</t>
  </si>
  <si>
    <t xml:space="preserve">homePage.navigateToPLPByCategory()</t>
  </si>
  <si>
    <t xml:space="preserve">Apply PLP filter / sort</t>
  </si>
  <si>
    <t xml:space="preserve">plp.applyFilter() / plp.sort()</t>
  </si>
  <si>
    <t xml:space="preserve">Select random product from PLP</t>
  </si>
  <si>
    <t xml:space="preserve">plp.navigateToRandomProduct()</t>
  </si>
  <si>
    <t xml:space="preserve">Open PDP from search results</t>
  </si>
  <si>
    <t xml:space="preserve">srp.navigateToRandomProduct()</t>
  </si>
  <si>
    <t xml:space="preserve">Product / PDP</t>
  </si>
  <si>
    <t xml:space="preserve">Read product name / breadcrumb</t>
  </si>
  <si>
    <t xml:space="preserve">pdp.getProductName()</t>
  </si>
  <si>
    <t xml:space="preserve">Select size / colour variant</t>
  </si>
  <si>
    <t xml:space="preserve">pdp.selectRandomAvailableSize()</t>
  </si>
  <si>
    <t xml:space="preserve">Add to cart</t>
  </si>
  <si>
    <t xml:space="preserve">pdp.addToCart()</t>
  </si>
  <si>
    <t xml:space="preserve">Go to cart from PDP</t>
  </si>
  <si>
    <t xml:space="preserve">pdp.goToCart()</t>
  </si>
  <si>
    <t xml:space="preserve">Cart</t>
  </si>
  <si>
    <t xml:space="preserve">Read cart product names</t>
  </si>
  <si>
    <t xml:space="preserve">cart.getCartProductNames()</t>
  </si>
  <si>
    <t xml:space="preserve">Read cart prices / qty / SKU</t>
  </si>
  <si>
    <t xml:space="preserve">cart.getCartProductsFinalPrice()</t>
  </si>
  <si>
    <t xml:space="preserve">Apply / read coupon</t>
  </si>
  <si>
    <t xml:space="preserve">cart.getAppliedCoupons()</t>
  </si>
  <si>
    <t xml:space="preserve">Read cart totals</t>
  </si>
  <si>
    <t xml:space="preserve">cart.getCartTotalValue()</t>
  </si>
  <si>
    <t xml:space="preserve">Proceed to checkout</t>
  </si>
  <si>
    <t xml:space="preserve">cart.proceedToCheckout()</t>
  </si>
  <si>
    <t xml:space="preserve">Checkout — Identification</t>
  </si>
  <si>
    <t xml:space="preserve">Checkout as guest</t>
  </si>
  <si>
    <t xml:space="preserve">checkout.checkoutAsGuest()</t>
  </si>
  <si>
    <t xml:space="preserve">Sign in as registered user</t>
  </si>
  <si>
    <t xml:space="preserve">checkout.signInAsRegisteredUser()</t>
  </si>
  <si>
    <t xml:space="preserve">Checkout — Shipping</t>
  </si>
  <si>
    <t xml:space="preserve">Enter shipping address</t>
  </si>
  <si>
    <t xml:space="preserve">checkout.enterShippingAddressDetails()</t>
  </si>
  <si>
    <t xml:space="preserve">Enter phone number</t>
  </si>
  <si>
    <t xml:space="preserve">checkout.enterPhoneNumber()</t>
  </si>
  <si>
    <t xml:space="preserve">Select shipping method</t>
  </si>
  <si>
    <t xml:space="preserve">checkout.selectShippingMethod()</t>
  </si>
  <si>
    <t xml:space="preserve">Continue: shipping -&gt; billing</t>
  </si>
  <si>
    <t xml:space="preserve">checkout.clickContinueShipping()</t>
  </si>
  <si>
    <t xml:space="preserve">Checkout — Payment / Billing</t>
  </si>
  <si>
    <t xml:space="preserve">Select credit card option</t>
  </si>
  <si>
    <t xml:space="preserve">checkout.clickCreditCard()</t>
  </si>
  <si>
    <t xml:space="preserve">Brand-specific</t>
  </si>
  <si>
    <t xml:space="preserve">Enter credit card (Aurus iframe)</t>
  </si>
  <si>
    <t xml:space="preserve">checkout.enterCreditCardDetails()</t>
  </si>
  <si>
    <t xml:space="preserve">Enter CVV (registered saved card)</t>
  </si>
  <si>
    <t xml:space="preserve">checkout.enterSecurityCodeForRegUser()</t>
  </si>
  <si>
    <t xml:space="preserve">PayPal flow</t>
  </si>
  <si>
    <t xml:space="preserve">checkout.selectPayPalAndPay()</t>
  </si>
  <si>
    <t xml:space="preserve">Apple Pay flow</t>
  </si>
  <si>
    <t xml:space="preserve">checkout.applePay()</t>
  </si>
  <si>
    <t xml:space="preserve">Continue: billing -&gt; place order</t>
  </si>
  <si>
    <t xml:space="preserve">checkout.clickContinueBilling()</t>
  </si>
  <si>
    <t xml:space="preserve">Order Confirmation</t>
  </si>
  <si>
    <t xml:space="preserve">Place order</t>
  </si>
  <si>
    <t xml:space="preserve">checkout.clickPlaceOrder()</t>
  </si>
  <si>
    <t xml:space="preserve">Read order id / total / tax</t>
  </si>
  <si>
    <t xml:space="preserve">orderConf.getOrderId() ...</t>
  </si>
  <si>
    <t xml:space="preserve">Read product-level order data</t>
  </si>
  <si>
    <t xml:space="preserve">orderConf.getOrderProductSku() ...</t>
  </si>
  <si>
    <t xml:space="preserve">Validate brand / payment-type flags</t>
  </si>
  <si>
    <t xml:space="preserve">orderConf.getOrderPaymentType() ...</t>
  </si>
  <si>
    <t xml:space="preserve">Cross-cutting / Data Layer</t>
  </si>
  <si>
    <t xml:space="preserve">DataLayer checkpoint validation</t>
  </si>
  <si>
    <t xml:space="preserve">dataLayer.validateCheckpoint()</t>
  </si>
  <si>
    <t xml:space="preserve">Self-healing locator resolution</t>
  </si>
  <si>
    <t xml:space="preserve">fallbackEngine / healing</t>
  </si>
  <si>
    <t xml:space="preserve">Capture LambdaTest link</t>
  </si>
  <si>
    <t xml:space="preserve">getLambdaTestLink()</t>
  </si>
  <si>
    <t xml:space="preserve">Reuse Effort Summary</t>
  </si>
  <si>
    <t xml:space="preserve">Bucket</t>
  </si>
  <si>
    <t xml:space="preserve">Count of cells</t>
  </si>
  <si>
    <t xml:space="preserve">Meaning</t>
  </si>
  <si>
    <t xml:space="preserve">Implication</t>
  </si>
  <si>
    <t xml:space="preserve">Identical behaviour + selectors</t>
  </si>
  <si>
    <t xml:space="preserve">Write once in base. Highest ROI.</t>
  </si>
  <si>
    <t xml:space="preserve">Same base fn, per-brand locators</t>
  </si>
  <si>
    <t xml:space="preserve">One base fn + thin locator overrides.</t>
  </si>
  <si>
    <t xml:space="preserve">Own implementation needed</t>
  </si>
  <si>
    <t xml:space="preserve">Budget separate dev/maintenance.</t>
  </si>
  <si>
    <t xml:space="preserve">Scenario not applicable to brand</t>
  </si>
  <si>
    <t xml:space="preserve">Exclude from that brand's suite.</t>
  </si>
  <si>
    <t xml:space="preserve">TOTAL</t>
  </si>
  <si>
    <t xml:space="preserve">Write-once coverage</t>
  </si>
  <si>
    <t xml:space="preserve">% of cells reusable via base + override (Shared + Override)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</si>
</sst>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Consolas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0061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EB9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C6EFCE"/>
        <bgColor rgb="FFD6DCE5"/>
      </patternFill>
    </fill>
    <fill>
      <patternFill patternType="solid">
        <fgColor rgb="FFFFC7CE"/>
        <bgColor rgb="FFD6DCE5"/>
      </patternFill>
    </fill>
    <fill>
      <patternFill patternType="solid">
        <fgColor rgb="FFF2F2F2"/>
        <bgColor rgb="FFFFFFFF"/>
      </patternFill>
    </fill>
    <fill>
      <patternFill patternType="solid">
        <fgColor rgb="FFD6DCE5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7.75" hidden="false" customHeight="true" outlineLevel="0" collapsed="false">
      <c r="B2" s="1" t="s">
        <v>0</v>
      </c>
    </row>
    <row r="3" customFormat="false" ht="15.75" hidden="false" customHeight="true" outlineLevel="0" collapsed="false">
      <c r="B3" s="2"/>
    </row>
    <row r="4" customFormat="false" ht="15.75" hidden="false" customHeight="true" outlineLevel="0" collapsed="false">
      <c r="B4" s="3" t="s">
        <v>1</v>
      </c>
    </row>
    <row r="5" customFormat="false" ht="30" hidden="false" customHeight="true" outlineLevel="0" collapsed="false">
      <c r="B5" s="2" t="s">
        <v>2</v>
      </c>
    </row>
    <row r="6" customFormat="false" ht="15.75" hidden="false" customHeight="true" outlineLevel="0" collapsed="false">
      <c r="B6" s="2"/>
    </row>
    <row r="7" customFormat="false" ht="15.75" hidden="false" customHeight="true" outlineLevel="0" collapsed="false">
      <c r="B7" s="3" t="s">
        <v>3</v>
      </c>
    </row>
    <row r="8" customFormat="false" ht="15.75" hidden="false" customHeight="true" outlineLevel="0" collapsed="false">
      <c r="B8" s="2" t="s">
        <v>4</v>
      </c>
    </row>
    <row r="9" customFormat="false" ht="15.75" hidden="false" customHeight="true" outlineLevel="0" collapsed="false">
      <c r="B9" s="2" t="s">
        <v>5</v>
      </c>
    </row>
    <row r="10" customFormat="false" ht="30" hidden="false" customHeight="true" outlineLevel="0" collapsed="false">
      <c r="B10" s="2" t="s">
        <v>6</v>
      </c>
    </row>
    <row r="11" customFormat="false" ht="15.75" hidden="false" customHeight="true" outlineLevel="0" collapsed="false">
      <c r="B11" s="2" t="s">
        <v>7</v>
      </c>
    </row>
    <row r="12" customFormat="false" ht="15.75" hidden="false" customHeight="true" outlineLevel="0" collapsed="false">
      <c r="B12" s="2" t="s">
        <v>8</v>
      </c>
    </row>
    <row r="13" customFormat="false" ht="15.75" hidden="false" customHeight="true" outlineLevel="0" collapsed="false">
      <c r="B13" s="2"/>
    </row>
    <row r="14" customFormat="false" ht="15.75" hidden="false" customHeight="true" outlineLevel="0" collapsed="false">
      <c r="B14" s="3" t="s">
        <v>9</v>
      </c>
    </row>
    <row r="15" customFormat="false" ht="30" hidden="false" customHeight="true" outlineLevel="0" collapsed="false">
      <c r="B15" s="2" t="s">
        <v>10</v>
      </c>
    </row>
    <row r="16" customFormat="false" ht="15.75" hidden="false" customHeight="true" outlineLevel="0" collapsed="false">
      <c r="B16" s="2"/>
    </row>
    <row r="17" customFormat="false" ht="15.75" hidden="false" customHeight="true" outlineLevel="0" collapsed="false">
      <c r="B17" s="3" t="s">
        <v>11</v>
      </c>
    </row>
    <row r="18" customFormat="false" ht="15.75" hidden="false" customHeight="true" outlineLevel="0" collapsed="false">
      <c r="B18" s="2" t="s">
        <v>12</v>
      </c>
    </row>
    <row r="19" customFormat="false" ht="15.75" hidden="false" customHeight="true" outlineLevel="0" collapsed="false">
      <c r="B19" s="2" t="s">
        <v>13</v>
      </c>
    </row>
    <row r="20" customFormat="false" ht="15.75" hidden="false" customHeight="true" outlineLevel="0" collapsed="false">
      <c r="B20" s="2" t="s">
        <v>14</v>
      </c>
    </row>
    <row r="21" customFormat="false" ht="15.75" hidden="false" customHeight="true" outlineLevel="0" collapsed="false">
      <c r="B21" s="2"/>
    </row>
    <row r="22" customFormat="false" ht="15.75" hidden="false" customHeight="true" outlineLevel="0" collapsed="false">
      <c r="B22" s="2" t="s">
        <v>15</v>
      </c>
    </row>
    <row r="23" customFormat="false" ht="15.75" hidden="false" customHeight="true" outlineLevel="0" collapsed="false">
      <c r="B23" s="2"/>
    </row>
    <row r="24" customFormat="false" ht="30" hidden="false" customHeight="true" outlineLevel="0" collapsed="false">
      <c r="B24" s="4" t="s">
        <v>16</v>
      </c>
    </row>
    <row r="26" customFormat="false" ht="15" hidden="false" customHeight="false" outlineLevel="0" collapsed="false">
      <c r="B26" s="5" t="s">
        <v>17</v>
      </c>
    </row>
    <row r="27" customFormat="false" ht="15" hidden="false" customHeight="false" outlineLevel="0" collapsed="false">
      <c r="B27" s="6" t="s">
        <v>18</v>
      </c>
    </row>
    <row r="28" customFormat="false" ht="15" hidden="false" customHeight="false" outlineLevel="0" collapsed="false">
      <c r="B28" s="7" t="s">
        <v>19</v>
      </c>
    </row>
    <row r="29" customFormat="false" ht="15" hidden="false" customHeight="false" outlineLevel="0" collapsed="false">
      <c r="B29" s="8" t="s">
        <v>20</v>
      </c>
    </row>
    <row r="30" customFormat="false" ht="15" hidden="false" customHeight="false" outlineLevel="0" collapsed="false">
      <c r="B30" s="9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11" min="3" style="0" width="16"/>
  </cols>
  <sheetData>
    <row r="1" customFormat="false" ht="25.5" hidden="false" customHeight="true" outlineLevel="0" collapsed="false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customFormat="false" ht="39.75" hidden="false" customHeight="true" outlineLevel="0" collapsed="false">
      <c r="A2" s="11" t="s">
        <v>23</v>
      </c>
      <c r="B2" s="11" t="s">
        <v>24</v>
      </c>
      <c r="C2" s="12" t="s">
        <v>25</v>
      </c>
      <c r="D2" s="12" t="s">
        <v>26</v>
      </c>
      <c r="E2" s="12" t="s">
        <v>27</v>
      </c>
      <c r="F2" s="12" t="s">
        <v>28</v>
      </c>
      <c r="G2" s="12" t="s">
        <v>29</v>
      </c>
      <c r="H2" s="12" t="s">
        <v>30</v>
      </c>
      <c r="I2" s="12" t="s">
        <v>31</v>
      </c>
      <c r="J2" s="12" t="s">
        <v>32</v>
      </c>
      <c r="K2" s="12" t="s">
        <v>33</v>
      </c>
    </row>
    <row r="3" customFormat="false" ht="15" hidden="false" customHeight="false" outlineLevel="0" collapsed="false">
      <c r="A3" s="13" t="s">
        <v>34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customFormat="false" ht="18" hidden="false" customHeight="true" outlineLevel="0" collapsed="false">
      <c r="A4" s="2" t="s">
        <v>35</v>
      </c>
      <c r="B4" s="14" t="s">
        <v>36</v>
      </c>
      <c r="C4" s="15" t="s">
        <v>37</v>
      </c>
      <c r="D4" s="15" t="s">
        <v>37</v>
      </c>
      <c r="E4" s="15" t="s">
        <v>37</v>
      </c>
      <c r="F4" s="15" t="s">
        <v>37</v>
      </c>
      <c r="G4" s="15" t="s">
        <v>37</v>
      </c>
      <c r="H4" s="15" t="s">
        <v>37</v>
      </c>
      <c r="I4" s="15" t="s">
        <v>37</v>
      </c>
      <c r="J4" s="15" t="s">
        <v>37</v>
      </c>
      <c r="K4" s="16" t="s">
        <v>38</v>
      </c>
    </row>
    <row r="5" customFormat="false" ht="18" hidden="false" customHeight="true" outlineLevel="0" collapsed="false">
      <c r="A5" s="2" t="s">
        <v>39</v>
      </c>
      <c r="B5" s="14" t="s">
        <v>40</v>
      </c>
      <c r="C5" s="15" t="s">
        <v>37</v>
      </c>
      <c r="D5" s="15" t="s">
        <v>37</v>
      </c>
      <c r="E5" s="15" t="s">
        <v>37</v>
      </c>
      <c r="F5" s="15" t="s">
        <v>37</v>
      </c>
      <c r="G5" s="15" t="s">
        <v>37</v>
      </c>
      <c r="H5" s="17" t="s">
        <v>41</v>
      </c>
      <c r="I5" s="17" t="s">
        <v>41</v>
      </c>
      <c r="J5" s="17" t="s">
        <v>41</v>
      </c>
      <c r="K5" s="16" t="s">
        <v>38</v>
      </c>
    </row>
    <row r="6" customFormat="false" ht="18" hidden="false" customHeight="true" outlineLevel="0" collapsed="false">
      <c r="A6" s="2" t="s">
        <v>42</v>
      </c>
      <c r="B6" s="14" t="s">
        <v>43</v>
      </c>
      <c r="C6" s="15" t="s">
        <v>37</v>
      </c>
      <c r="D6" s="15" t="s">
        <v>37</v>
      </c>
      <c r="E6" s="15" t="s">
        <v>37</v>
      </c>
      <c r="F6" s="15" t="s">
        <v>37</v>
      </c>
      <c r="G6" s="15" t="s">
        <v>37</v>
      </c>
      <c r="H6" s="17" t="s">
        <v>41</v>
      </c>
      <c r="I6" s="17" t="s">
        <v>41</v>
      </c>
      <c r="J6" s="17" t="s">
        <v>41</v>
      </c>
      <c r="K6" s="16" t="s">
        <v>38</v>
      </c>
    </row>
    <row r="7" customFormat="false" ht="18" hidden="false" customHeight="true" outlineLevel="0" collapsed="false">
      <c r="A7" s="2" t="s">
        <v>44</v>
      </c>
      <c r="B7" s="14" t="s">
        <v>45</v>
      </c>
      <c r="C7" s="17" t="s">
        <v>41</v>
      </c>
      <c r="D7" s="17" t="s">
        <v>41</v>
      </c>
      <c r="E7" s="17" t="s">
        <v>41</v>
      </c>
      <c r="F7" s="17" t="s">
        <v>41</v>
      </c>
      <c r="G7" s="17" t="s">
        <v>41</v>
      </c>
      <c r="H7" s="17" t="s">
        <v>41</v>
      </c>
      <c r="I7" s="17" t="s">
        <v>41</v>
      </c>
      <c r="J7" s="17" t="s">
        <v>41</v>
      </c>
      <c r="K7" s="16" t="s">
        <v>38</v>
      </c>
    </row>
    <row r="8" customFormat="false" ht="18" hidden="false" customHeight="true" outlineLevel="0" collapsed="false">
      <c r="A8" s="2" t="s">
        <v>46</v>
      </c>
      <c r="B8" s="14" t="s">
        <v>47</v>
      </c>
      <c r="C8" s="15" t="s">
        <v>37</v>
      </c>
      <c r="D8" s="15" t="s">
        <v>37</v>
      </c>
      <c r="E8" s="15" t="s">
        <v>37</v>
      </c>
      <c r="F8" s="15" t="s">
        <v>37</v>
      </c>
      <c r="G8" s="15" t="s">
        <v>37</v>
      </c>
      <c r="H8" s="17" t="s">
        <v>41</v>
      </c>
      <c r="I8" s="17" t="s">
        <v>41</v>
      </c>
      <c r="J8" s="17" t="s">
        <v>41</v>
      </c>
      <c r="K8" s="16" t="s">
        <v>38</v>
      </c>
    </row>
    <row r="9" customFormat="false" ht="18" hidden="false" customHeight="true" outlineLevel="0" collapsed="false">
      <c r="A9" s="2" t="s">
        <v>48</v>
      </c>
      <c r="B9" s="14" t="s">
        <v>49</v>
      </c>
      <c r="C9" s="15" t="s">
        <v>37</v>
      </c>
      <c r="D9" s="15" t="s">
        <v>37</v>
      </c>
      <c r="E9" s="15" t="s">
        <v>37</v>
      </c>
      <c r="F9" s="15" t="s">
        <v>37</v>
      </c>
      <c r="G9" s="15" t="s">
        <v>37</v>
      </c>
      <c r="H9" s="17" t="s">
        <v>41</v>
      </c>
      <c r="I9" s="17" t="s">
        <v>41</v>
      </c>
      <c r="J9" s="17" t="s">
        <v>41</v>
      </c>
      <c r="K9" s="16" t="s">
        <v>38</v>
      </c>
    </row>
    <row r="10" customFormat="false" ht="15" hidden="false" customHeight="false" outlineLevel="0" collapsed="false">
      <c r="A10" s="13" t="s">
        <v>50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customFormat="false" ht="18" hidden="false" customHeight="true" outlineLevel="0" collapsed="false">
      <c r="A11" s="2" t="s">
        <v>51</v>
      </c>
      <c r="B11" s="14" t="s">
        <v>52</v>
      </c>
      <c r="C11" s="15" t="s">
        <v>37</v>
      </c>
      <c r="D11" s="15" t="s">
        <v>37</v>
      </c>
      <c r="E11" s="15" t="s">
        <v>37</v>
      </c>
      <c r="F11" s="15" t="s">
        <v>37</v>
      </c>
      <c r="G11" s="15" t="s">
        <v>37</v>
      </c>
      <c r="H11" s="17" t="s">
        <v>41</v>
      </c>
      <c r="I11" s="17" t="s">
        <v>41</v>
      </c>
      <c r="J11" s="17" t="s">
        <v>41</v>
      </c>
      <c r="K11" s="16" t="s">
        <v>38</v>
      </c>
    </row>
    <row r="12" customFormat="false" ht="18" hidden="false" customHeight="true" outlineLevel="0" collapsed="false">
      <c r="A12" s="2" t="s">
        <v>53</v>
      </c>
      <c r="B12" s="14" t="s">
        <v>54</v>
      </c>
      <c r="C12" s="15" t="s">
        <v>37</v>
      </c>
      <c r="D12" s="15" t="s">
        <v>37</v>
      </c>
      <c r="E12" s="15" t="s">
        <v>37</v>
      </c>
      <c r="F12" s="15" t="s">
        <v>37</v>
      </c>
      <c r="G12" s="15" t="s">
        <v>37</v>
      </c>
      <c r="H12" s="17" t="s">
        <v>41</v>
      </c>
      <c r="I12" s="17" t="s">
        <v>41</v>
      </c>
      <c r="J12" s="17" t="s">
        <v>41</v>
      </c>
      <c r="K12" s="16" t="s">
        <v>38</v>
      </c>
    </row>
    <row r="13" customFormat="false" ht="18" hidden="false" customHeight="true" outlineLevel="0" collapsed="false">
      <c r="A13" s="2" t="s">
        <v>55</v>
      </c>
      <c r="B13" s="14" t="s">
        <v>56</v>
      </c>
      <c r="C13" s="15" t="s">
        <v>37</v>
      </c>
      <c r="D13" s="15" t="s">
        <v>37</v>
      </c>
      <c r="E13" s="15" t="s">
        <v>37</v>
      </c>
      <c r="F13" s="15" t="s">
        <v>37</v>
      </c>
      <c r="G13" s="15" t="s">
        <v>37</v>
      </c>
      <c r="H13" s="17" t="s">
        <v>41</v>
      </c>
      <c r="I13" s="17" t="s">
        <v>41</v>
      </c>
      <c r="J13" s="17" t="s">
        <v>41</v>
      </c>
      <c r="K13" s="16" t="s">
        <v>38</v>
      </c>
    </row>
    <row r="14" customFormat="false" ht="18" hidden="false" customHeight="true" outlineLevel="0" collapsed="false">
      <c r="A14" s="2" t="s">
        <v>57</v>
      </c>
      <c r="B14" s="14" t="s">
        <v>58</v>
      </c>
      <c r="C14" s="15" t="s">
        <v>37</v>
      </c>
      <c r="D14" s="15" t="s">
        <v>37</v>
      </c>
      <c r="E14" s="15" t="s">
        <v>37</v>
      </c>
      <c r="F14" s="15" t="s">
        <v>37</v>
      </c>
      <c r="G14" s="15" t="s">
        <v>37</v>
      </c>
      <c r="H14" s="15" t="s">
        <v>37</v>
      </c>
      <c r="I14" s="15" t="s">
        <v>37</v>
      </c>
      <c r="J14" s="15" t="s">
        <v>37</v>
      </c>
      <c r="K14" s="16" t="s">
        <v>38</v>
      </c>
    </row>
    <row r="15" customFormat="false" ht="15" hidden="false" customHeight="false" outlineLevel="0" collapsed="false">
      <c r="A15" s="13" t="s">
        <v>59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18" hidden="false" customHeight="true" outlineLevel="0" collapsed="false">
      <c r="A16" s="2" t="s">
        <v>60</v>
      </c>
      <c r="B16" s="14" t="s">
        <v>61</v>
      </c>
      <c r="C16" s="15" t="s">
        <v>37</v>
      </c>
      <c r="D16" s="15" t="s">
        <v>37</v>
      </c>
      <c r="E16" s="15" t="s">
        <v>37</v>
      </c>
      <c r="F16" s="15" t="s">
        <v>37</v>
      </c>
      <c r="G16" s="15" t="s">
        <v>37</v>
      </c>
      <c r="H16" s="17" t="s">
        <v>41</v>
      </c>
      <c r="I16" s="17" t="s">
        <v>41</v>
      </c>
      <c r="J16" s="17" t="s">
        <v>41</v>
      </c>
      <c r="K16" s="16" t="s">
        <v>38</v>
      </c>
    </row>
    <row r="17" customFormat="false" ht="18" hidden="false" customHeight="true" outlineLevel="0" collapsed="false">
      <c r="A17" s="2" t="s">
        <v>62</v>
      </c>
      <c r="B17" s="14" t="s">
        <v>63</v>
      </c>
      <c r="C17" s="15" t="s">
        <v>37</v>
      </c>
      <c r="D17" s="15" t="s">
        <v>37</v>
      </c>
      <c r="E17" s="15" t="s">
        <v>37</v>
      </c>
      <c r="F17" s="15" t="s">
        <v>37</v>
      </c>
      <c r="G17" s="15" t="s">
        <v>37</v>
      </c>
      <c r="H17" s="17" t="s">
        <v>41</v>
      </c>
      <c r="I17" s="17" t="s">
        <v>41</v>
      </c>
      <c r="J17" s="17" t="s">
        <v>41</v>
      </c>
      <c r="K17" s="16" t="s">
        <v>38</v>
      </c>
    </row>
    <row r="18" customFormat="false" ht="18" hidden="false" customHeight="true" outlineLevel="0" collapsed="false">
      <c r="A18" s="2" t="s">
        <v>64</v>
      </c>
      <c r="B18" s="14" t="s">
        <v>65</v>
      </c>
      <c r="C18" s="17" t="s">
        <v>41</v>
      </c>
      <c r="D18" s="17" t="s">
        <v>41</v>
      </c>
      <c r="E18" s="17" t="s">
        <v>41</v>
      </c>
      <c r="F18" s="17" t="s">
        <v>41</v>
      </c>
      <c r="G18" s="17" t="s">
        <v>41</v>
      </c>
      <c r="H18" s="17" t="s">
        <v>41</v>
      </c>
      <c r="I18" s="17" t="s">
        <v>41</v>
      </c>
      <c r="J18" s="17" t="s">
        <v>41</v>
      </c>
      <c r="K18" s="16" t="s">
        <v>38</v>
      </c>
    </row>
    <row r="19" customFormat="false" ht="18" hidden="false" customHeight="true" outlineLevel="0" collapsed="false">
      <c r="A19" s="2" t="s">
        <v>66</v>
      </c>
      <c r="B19" s="14" t="s">
        <v>67</v>
      </c>
      <c r="C19" s="15" t="s">
        <v>37</v>
      </c>
      <c r="D19" s="15" t="s">
        <v>37</v>
      </c>
      <c r="E19" s="15" t="s">
        <v>37</v>
      </c>
      <c r="F19" s="15" t="s">
        <v>37</v>
      </c>
      <c r="G19" s="15" t="s">
        <v>37</v>
      </c>
      <c r="H19" s="17" t="s">
        <v>41</v>
      </c>
      <c r="I19" s="17" t="s">
        <v>41</v>
      </c>
      <c r="J19" s="17" t="s">
        <v>41</v>
      </c>
      <c r="K19" s="16" t="s">
        <v>38</v>
      </c>
    </row>
    <row r="20" customFormat="false" ht="18" hidden="false" customHeight="true" outlineLevel="0" collapsed="false">
      <c r="A20" s="2" t="s">
        <v>68</v>
      </c>
      <c r="B20" s="14" t="s">
        <v>69</v>
      </c>
      <c r="C20" s="15" t="s">
        <v>37</v>
      </c>
      <c r="D20" s="15" t="s">
        <v>37</v>
      </c>
      <c r="E20" s="15" t="s">
        <v>37</v>
      </c>
      <c r="F20" s="15" t="s">
        <v>37</v>
      </c>
      <c r="G20" s="15" t="s">
        <v>37</v>
      </c>
      <c r="H20" s="17" t="s">
        <v>41</v>
      </c>
      <c r="I20" s="17" t="s">
        <v>41</v>
      </c>
      <c r="J20" s="17" t="s">
        <v>41</v>
      </c>
      <c r="K20" s="16" t="s">
        <v>38</v>
      </c>
    </row>
    <row r="21" customFormat="false" ht="15" hidden="false" customHeight="false" outlineLevel="0" collapsed="false">
      <c r="A21" s="13" t="s">
        <v>70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customFormat="false" ht="18" hidden="false" customHeight="true" outlineLevel="0" collapsed="false">
      <c r="A22" s="2" t="s">
        <v>71</v>
      </c>
      <c r="B22" s="14" t="s">
        <v>72</v>
      </c>
      <c r="C22" s="15" t="s">
        <v>37</v>
      </c>
      <c r="D22" s="15" t="s">
        <v>37</v>
      </c>
      <c r="E22" s="15" t="s">
        <v>37</v>
      </c>
      <c r="F22" s="15" t="s">
        <v>37</v>
      </c>
      <c r="G22" s="15" t="s">
        <v>37</v>
      </c>
      <c r="H22" s="17" t="s">
        <v>41</v>
      </c>
      <c r="I22" s="17" t="s">
        <v>41</v>
      </c>
      <c r="J22" s="17" t="s">
        <v>41</v>
      </c>
      <c r="K22" s="16" t="s">
        <v>38</v>
      </c>
    </row>
    <row r="23" customFormat="false" ht="18" hidden="false" customHeight="true" outlineLevel="0" collapsed="false">
      <c r="A23" s="2" t="s">
        <v>73</v>
      </c>
      <c r="B23" s="14" t="s">
        <v>74</v>
      </c>
      <c r="C23" s="15" t="s">
        <v>37</v>
      </c>
      <c r="D23" s="15" t="s">
        <v>37</v>
      </c>
      <c r="E23" s="15" t="s">
        <v>37</v>
      </c>
      <c r="F23" s="15" t="s">
        <v>37</v>
      </c>
      <c r="G23" s="15" t="s">
        <v>37</v>
      </c>
      <c r="H23" s="17" t="s">
        <v>41</v>
      </c>
      <c r="I23" s="17" t="s">
        <v>41</v>
      </c>
      <c r="J23" s="17" t="s">
        <v>41</v>
      </c>
      <c r="K23" s="16" t="s">
        <v>38</v>
      </c>
    </row>
    <row r="24" customFormat="false" ht="15" hidden="false" customHeight="false" outlineLevel="0" collapsed="false">
      <c r="A24" s="13" t="s">
        <v>75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18" hidden="false" customHeight="true" outlineLevel="0" collapsed="false">
      <c r="A25" s="2" t="s">
        <v>76</v>
      </c>
      <c r="B25" s="14" t="s">
        <v>77</v>
      </c>
      <c r="C25" s="15" t="s">
        <v>37</v>
      </c>
      <c r="D25" s="15" t="s">
        <v>37</v>
      </c>
      <c r="E25" s="15" t="s">
        <v>37</v>
      </c>
      <c r="F25" s="15" t="s">
        <v>37</v>
      </c>
      <c r="G25" s="15" t="s">
        <v>37</v>
      </c>
      <c r="H25" s="17" t="s">
        <v>41</v>
      </c>
      <c r="I25" s="17" t="s">
        <v>41</v>
      </c>
      <c r="J25" s="17" t="s">
        <v>41</v>
      </c>
      <c r="K25" s="16" t="s">
        <v>38</v>
      </c>
    </row>
    <row r="26" customFormat="false" ht="18" hidden="false" customHeight="true" outlineLevel="0" collapsed="false">
      <c r="A26" s="2" t="s">
        <v>78</v>
      </c>
      <c r="B26" s="14" t="s">
        <v>79</v>
      </c>
      <c r="C26" s="15" t="s">
        <v>37</v>
      </c>
      <c r="D26" s="15" t="s">
        <v>37</v>
      </c>
      <c r="E26" s="15" t="s">
        <v>37</v>
      </c>
      <c r="F26" s="15" t="s">
        <v>37</v>
      </c>
      <c r="G26" s="15" t="s">
        <v>37</v>
      </c>
      <c r="H26" s="17" t="s">
        <v>41</v>
      </c>
      <c r="I26" s="17" t="s">
        <v>41</v>
      </c>
      <c r="J26" s="17" t="s">
        <v>41</v>
      </c>
      <c r="K26" s="16" t="s">
        <v>38</v>
      </c>
    </row>
    <row r="27" customFormat="false" ht="18" hidden="false" customHeight="true" outlineLevel="0" collapsed="false">
      <c r="A27" s="2" t="s">
        <v>80</v>
      </c>
      <c r="B27" s="14" t="s">
        <v>81</v>
      </c>
      <c r="C27" s="17" t="s">
        <v>41</v>
      </c>
      <c r="D27" s="17" t="s">
        <v>41</v>
      </c>
      <c r="E27" s="17" t="s">
        <v>41</v>
      </c>
      <c r="F27" s="17" t="s">
        <v>41</v>
      </c>
      <c r="G27" s="17" t="s">
        <v>41</v>
      </c>
      <c r="H27" s="17" t="s">
        <v>41</v>
      </c>
      <c r="I27" s="17" t="s">
        <v>41</v>
      </c>
      <c r="J27" s="17" t="s">
        <v>41</v>
      </c>
      <c r="K27" s="16" t="s">
        <v>38</v>
      </c>
    </row>
    <row r="28" customFormat="false" ht="18" hidden="false" customHeight="true" outlineLevel="0" collapsed="false">
      <c r="A28" s="2" t="s">
        <v>82</v>
      </c>
      <c r="B28" s="14" t="s">
        <v>83</v>
      </c>
      <c r="C28" s="15" t="s">
        <v>37</v>
      </c>
      <c r="D28" s="15" t="s">
        <v>37</v>
      </c>
      <c r="E28" s="15" t="s">
        <v>37</v>
      </c>
      <c r="F28" s="15" t="s">
        <v>37</v>
      </c>
      <c r="G28" s="15" t="s">
        <v>37</v>
      </c>
      <c r="H28" s="17" t="s">
        <v>41</v>
      </c>
      <c r="I28" s="17" t="s">
        <v>41</v>
      </c>
      <c r="J28" s="17" t="s">
        <v>41</v>
      </c>
      <c r="K28" s="16" t="s">
        <v>38</v>
      </c>
    </row>
    <row r="29" customFormat="false" ht="15" hidden="false" customHeight="false" outlineLevel="0" collapsed="false">
      <c r="A29" s="13" t="s">
        <v>84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18" hidden="false" customHeight="true" outlineLevel="0" collapsed="false">
      <c r="A30" s="2" t="s">
        <v>85</v>
      </c>
      <c r="B30" s="14" t="s">
        <v>86</v>
      </c>
      <c r="C30" s="15" t="s">
        <v>37</v>
      </c>
      <c r="D30" s="15" t="s">
        <v>37</v>
      </c>
      <c r="E30" s="15" t="s">
        <v>37</v>
      </c>
      <c r="F30" s="15" t="s">
        <v>37</v>
      </c>
      <c r="G30" s="15" t="s">
        <v>37</v>
      </c>
      <c r="H30" s="18" t="s">
        <v>87</v>
      </c>
      <c r="I30" s="18" t="s">
        <v>87</v>
      </c>
      <c r="J30" s="18" t="s">
        <v>87</v>
      </c>
      <c r="K30" s="16" t="s">
        <v>38</v>
      </c>
    </row>
    <row r="31" customFormat="false" ht="18" hidden="false" customHeight="true" outlineLevel="0" collapsed="false">
      <c r="A31" s="2" t="s">
        <v>88</v>
      </c>
      <c r="B31" s="14" t="s">
        <v>89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8" t="s">
        <v>87</v>
      </c>
      <c r="I31" s="18" t="s">
        <v>87</v>
      </c>
      <c r="J31" s="18" t="s">
        <v>87</v>
      </c>
      <c r="K31" s="16" t="s">
        <v>38</v>
      </c>
    </row>
    <row r="32" customFormat="false" ht="18" hidden="false" customHeight="true" outlineLevel="0" collapsed="false">
      <c r="A32" s="2" t="s">
        <v>90</v>
      </c>
      <c r="B32" s="14" t="s">
        <v>91</v>
      </c>
      <c r="C32" s="17" t="s">
        <v>41</v>
      </c>
      <c r="D32" s="17" t="s">
        <v>41</v>
      </c>
      <c r="E32" s="17" t="s">
        <v>41</v>
      </c>
      <c r="F32" s="17" t="s">
        <v>41</v>
      </c>
      <c r="G32" s="17" t="s">
        <v>41</v>
      </c>
      <c r="H32" s="18" t="s">
        <v>87</v>
      </c>
      <c r="I32" s="18" t="s">
        <v>87</v>
      </c>
      <c r="J32" s="18" t="s">
        <v>87</v>
      </c>
      <c r="K32" s="16" t="s">
        <v>38</v>
      </c>
    </row>
    <row r="33" customFormat="false" ht="18" hidden="false" customHeight="true" outlineLevel="0" collapsed="false">
      <c r="A33" s="2" t="s">
        <v>92</v>
      </c>
      <c r="B33" s="14" t="s">
        <v>93</v>
      </c>
      <c r="C33" s="17" t="s">
        <v>41</v>
      </c>
      <c r="D33" s="17" t="s">
        <v>41</v>
      </c>
      <c r="E33" s="17" t="s">
        <v>41</v>
      </c>
      <c r="F33" s="17" t="s">
        <v>41</v>
      </c>
      <c r="G33" s="17" t="s">
        <v>41</v>
      </c>
      <c r="H33" s="18" t="s">
        <v>87</v>
      </c>
      <c r="I33" s="18" t="s">
        <v>87</v>
      </c>
      <c r="J33" s="18" t="s">
        <v>87</v>
      </c>
      <c r="K33" s="16" t="s">
        <v>38</v>
      </c>
    </row>
    <row r="34" customFormat="false" ht="18" hidden="false" customHeight="true" outlineLevel="0" collapsed="false">
      <c r="A34" s="2" t="s">
        <v>94</v>
      </c>
      <c r="B34" s="14" t="s">
        <v>95</v>
      </c>
      <c r="C34" s="17" t="s">
        <v>41</v>
      </c>
      <c r="D34" s="17" t="s">
        <v>41</v>
      </c>
      <c r="E34" s="17" t="s">
        <v>41</v>
      </c>
      <c r="F34" s="17" t="s">
        <v>41</v>
      </c>
      <c r="G34" s="17" t="s">
        <v>41</v>
      </c>
      <c r="H34" s="18" t="s">
        <v>87</v>
      </c>
      <c r="I34" s="18" t="s">
        <v>87</v>
      </c>
      <c r="J34" s="18" t="s">
        <v>87</v>
      </c>
      <c r="K34" s="16" t="s">
        <v>38</v>
      </c>
    </row>
    <row r="35" customFormat="false" ht="18" hidden="false" customHeight="true" outlineLevel="0" collapsed="false">
      <c r="A35" s="2" t="s">
        <v>96</v>
      </c>
      <c r="B35" s="14" t="s">
        <v>97</v>
      </c>
      <c r="C35" s="15" t="s">
        <v>37</v>
      </c>
      <c r="D35" s="15" t="s">
        <v>37</v>
      </c>
      <c r="E35" s="15" t="s">
        <v>37</v>
      </c>
      <c r="F35" s="15" t="s">
        <v>37</v>
      </c>
      <c r="G35" s="15" t="s">
        <v>37</v>
      </c>
      <c r="H35" s="18" t="s">
        <v>87</v>
      </c>
      <c r="I35" s="18" t="s">
        <v>87</v>
      </c>
      <c r="J35" s="18" t="s">
        <v>87</v>
      </c>
      <c r="K35" s="16" t="s">
        <v>38</v>
      </c>
    </row>
    <row r="36" customFormat="false" ht="15" hidden="false" customHeight="false" outlineLevel="0" collapsed="false">
      <c r="A36" s="13" t="s">
        <v>98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customFormat="false" ht="18" hidden="false" customHeight="true" outlineLevel="0" collapsed="false">
      <c r="A37" s="2" t="s">
        <v>99</v>
      </c>
      <c r="B37" s="14" t="s">
        <v>100</v>
      </c>
      <c r="C37" s="15" t="s">
        <v>37</v>
      </c>
      <c r="D37" s="15" t="s">
        <v>37</v>
      </c>
      <c r="E37" s="15" t="s">
        <v>37</v>
      </c>
      <c r="F37" s="15" t="s">
        <v>37</v>
      </c>
      <c r="G37" s="15" t="s">
        <v>37</v>
      </c>
      <c r="H37" s="17" t="s">
        <v>41</v>
      </c>
      <c r="I37" s="17" t="s">
        <v>41</v>
      </c>
      <c r="J37" s="17" t="s">
        <v>41</v>
      </c>
      <c r="K37" s="16" t="s">
        <v>38</v>
      </c>
    </row>
    <row r="38" customFormat="false" ht="18" hidden="false" customHeight="true" outlineLevel="0" collapsed="false">
      <c r="A38" s="2" t="s">
        <v>101</v>
      </c>
      <c r="B38" s="14" t="s">
        <v>102</v>
      </c>
      <c r="C38" s="15" t="s">
        <v>37</v>
      </c>
      <c r="D38" s="15" t="s">
        <v>37</v>
      </c>
      <c r="E38" s="15" t="s">
        <v>37</v>
      </c>
      <c r="F38" s="15" t="s">
        <v>37</v>
      </c>
      <c r="G38" s="15" t="s">
        <v>37</v>
      </c>
      <c r="H38" s="17" t="s">
        <v>41</v>
      </c>
      <c r="I38" s="17" t="s">
        <v>41</v>
      </c>
      <c r="J38" s="17" t="s">
        <v>41</v>
      </c>
      <c r="K38" s="16" t="s">
        <v>38</v>
      </c>
    </row>
    <row r="39" customFormat="false" ht="18" hidden="false" customHeight="true" outlineLevel="0" collapsed="false">
      <c r="A39" s="2" t="s">
        <v>103</v>
      </c>
      <c r="B39" s="14" t="s">
        <v>104</v>
      </c>
      <c r="C39" s="15" t="s">
        <v>37</v>
      </c>
      <c r="D39" s="15" t="s">
        <v>37</v>
      </c>
      <c r="E39" s="15" t="s">
        <v>37</v>
      </c>
      <c r="F39" s="15" t="s">
        <v>37</v>
      </c>
      <c r="G39" s="15" t="s">
        <v>37</v>
      </c>
      <c r="H39" s="17" t="s">
        <v>41</v>
      </c>
      <c r="I39" s="17" t="s">
        <v>41</v>
      </c>
      <c r="J39" s="17" t="s">
        <v>41</v>
      </c>
      <c r="K39" s="16" t="s">
        <v>38</v>
      </c>
    </row>
    <row r="40" customFormat="false" ht="18" hidden="false" customHeight="true" outlineLevel="0" collapsed="false">
      <c r="A40" s="2" t="s">
        <v>105</v>
      </c>
      <c r="B40" s="14" t="s">
        <v>106</v>
      </c>
      <c r="C40" s="17" t="s">
        <v>41</v>
      </c>
      <c r="D40" s="17" t="s">
        <v>41</v>
      </c>
      <c r="E40" s="17" t="s">
        <v>41</v>
      </c>
      <c r="F40" s="17" t="s">
        <v>41</v>
      </c>
      <c r="G40" s="17" t="s">
        <v>41</v>
      </c>
      <c r="H40" s="18" t="s">
        <v>87</v>
      </c>
      <c r="I40" s="18" t="s">
        <v>87</v>
      </c>
      <c r="J40" s="18" t="s">
        <v>87</v>
      </c>
      <c r="K40" s="16" t="s">
        <v>38</v>
      </c>
    </row>
    <row r="41" customFormat="false" ht="15" hidden="false" customHeight="false" outlineLevel="0" collapsed="false">
      <c r="A41" s="13" t="s">
        <v>107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18" hidden="false" customHeight="true" outlineLevel="0" collapsed="false">
      <c r="A42" s="2" t="s">
        <v>108</v>
      </c>
      <c r="B42" s="14" t="s">
        <v>109</v>
      </c>
      <c r="C42" s="17" t="s">
        <v>41</v>
      </c>
      <c r="D42" s="17" t="s">
        <v>41</v>
      </c>
      <c r="E42" s="17" t="s">
        <v>41</v>
      </c>
      <c r="F42" s="17" t="s">
        <v>41</v>
      </c>
      <c r="G42" s="17" t="s">
        <v>41</v>
      </c>
      <c r="H42" s="18" t="s">
        <v>87</v>
      </c>
      <c r="I42" s="18" t="s">
        <v>87</v>
      </c>
      <c r="J42" s="18" t="s">
        <v>87</v>
      </c>
      <c r="K42" s="16" t="s">
        <v>38</v>
      </c>
    </row>
    <row r="43" customFormat="false" ht="18" hidden="false" customHeight="true" outlineLevel="0" collapsed="false">
      <c r="A43" s="2" t="s">
        <v>110</v>
      </c>
      <c r="B43" s="14" t="s">
        <v>111</v>
      </c>
      <c r="C43" s="15" t="s">
        <v>37</v>
      </c>
      <c r="D43" s="15" t="s">
        <v>37</v>
      </c>
      <c r="E43" s="15" t="s">
        <v>37</v>
      </c>
      <c r="F43" s="15" t="s">
        <v>37</v>
      </c>
      <c r="G43" s="15" t="s">
        <v>37</v>
      </c>
      <c r="H43" s="15" t="s">
        <v>37</v>
      </c>
      <c r="I43" s="15" t="s">
        <v>37</v>
      </c>
      <c r="J43" s="15" t="s">
        <v>37</v>
      </c>
      <c r="K43" s="16" t="s">
        <v>38</v>
      </c>
    </row>
    <row r="44" customFormat="false" ht="18" hidden="false" customHeight="true" outlineLevel="0" collapsed="false">
      <c r="A44" s="2" t="s">
        <v>112</v>
      </c>
      <c r="B44" s="14" t="s">
        <v>113</v>
      </c>
      <c r="C44" s="15" t="s">
        <v>37</v>
      </c>
      <c r="D44" s="15" t="s">
        <v>37</v>
      </c>
      <c r="E44" s="15" t="s">
        <v>37</v>
      </c>
      <c r="F44" s="15" t="s">
        <v>37</v>
      </c>
      <c r="G44" s="15" t="s">
        <v>37</v>
      </c>
      <c r="H44" s="15" t="s">
        <v>37</v>
      </c>
      <c r="I44" s="15" t="s">
        <v>37</v>
      </c>
      <c r="J44" s="15" t="s">
        <v>37</v>
      </c>
      <c r="K44" s="16" t="s">
        <v>38</v>
      </c>
    </row>
  </sheetData>
  <mergeCells count="9">
    <mergeCell ref="A1:K1"/>
    <mergeCell ref="A3:K3"/>
    <mergeCell ref="A10:K10"/>
    <mergeCell ref="A15:K15"/>
    <mergeCell ref="A21:K21"/>
    <mergeCell ref="A24:K24"/>
    <mergeCell ref="A29:K29"/>
    <mergeCell ref="A36:K36"/>
    <mergeCell ref="A41:K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40"/>
  </cols>
  <sheetData>
    <row r="1" customFormat="false" ht="24" hidden="false" customHeight="true" outlineLevel="0" collapsed="false">
      <c r="A1" s="19" t="s">
        <v>114</v>
      </c>
      <c r="B1" s="19"/>
      <c r="C1" s="19"/>
      <c r="D1" s="19"/>
    </row>
    <row r="3" customFormat="false" ht="15" hidden="false" customHeight="false" outlineLevel="0" collapsed="false">
      <c r="A3" s="11" t="s">
        <v>115</v>
      </c>
      <c r="B3" s="11" t="s">
        <v>116</v>
      </c>
      <c r="C3" s="11" t="s">
        <v>117</v>
      </c>
      <c r="D3" s="11" t="s">
        <v>118</v>
      </c>
    </row>
    <row r="4" customFormat="false" ht="15" hidden="false" customHeight="false" outlineLevel="0" collapsed="false">
      <c r="A4" s="15" t="s">
        <v>37</v>
      </c>
      <c r="B4" s="20" t="n">
        <f aca="false">COUNTIF('Scenario Matrix'!C3:K44,"Shared")</f>
        <v>137</v>
      </c>
      <c r="C4" s="2" t="s">
        <v>119</v>
      </c>
      <c r="D4" s="2" t="s">
        <v>120</v>
      </c>
    </row>
    <row r="5" customFormat="false" ht="15" hidden="false" customHeight="false" outlineLevel="0" collapsed="false">
      <c r="A5" s="17" t="s">
        <v>41</v>
      </c>
      <c r="B5" s="20" t="n">
        <f aca="false">COUNTIF('Scenario Matrix'!C3:K44,"Override")</f>
        <v>111</v>
      </c>
      <c r="C5" s="2" t="s">
        <v>121</v>
      </c>
      <c r="D5" s="2" t="s">
        <v>122</v>
      </c>
    </row>
    <row r="6" customFormat="false" ht="15" hidden="false" customHeight="false" outlineLevel="0" collapsed="false">
      <c r="A6" s="18" t="s">
        <v>87</v>
      </c>
      <c r="B6" s="20" t="n">
        <f aca="false">COUNTIF('Scenario Matrix'!C3:K44,"Brand-specific")</f>
        <v>24</v>
      </c>
      <c r="C6" s="2" t="s">
        <v>123</v>
      </c>
      <c r="D6" s="2" t="s">
        <v>124</v>
      </c>
    </row>
    <row r="7" customFormat="false" ht="15" hidden="false" customHeight="false" outlineLevel="0" collapsed="false">
      <c r="A7" s="16" t="s">
        <v>38</v>
      </c>
      <c r="B7" s="20" t="n">
        <f aca="false">COUNTIF('Scenario Matrix'!C3:K44,"N/A")</f>
        <v>34</v>
      </c>
      <c r="C7" s="2" t="s">
        <v>125</v>
      </c>
      <c r="D7" s="2" t="s">
        <v>126</v>
      </c>
    </row>
    <row r="8" customFormat="false" ht="15" hidden="false" customHeight="false" outlineLevel="0" collapsed="false">
      <c r="A8" s="19" t="s">
        <v>127</v>
      </c>
      <c r="B8" s="21" t="n">
        <f aca="false">SUM(B4:B7)</f>
        <v>306</v>
      </c>
      <c r="C8" s="2"/>
      <c r="D8" s="2"/>
    </row>
    <row r="10" customFormat="false" ht="15" hidden="false" customHeight="true" outlineLevel="0" collapsed="false">
      <c r="A10" s="5" t="s">
        <v>128</v>
      </c>
      <c r="B10" s="5"/>
      <c r="C10" s="5"/>
      <c r="D10" s="5"/>
    </row>
    <row r="11" customFormat="false" ht="24.45" hidden="false" customHeight="true" outlineLevel="0" collapsed="false">
      <c r="A11" s="22" t="n">
        <f aca="false">ROUND((B4+B5)/B8*100,0)</f>
        <v>81</v>
      </c>
      <c r="B11" s="2" t="s">
        <v>129</v>
      </c>
      <c r="C11" s="2"/>
      <c r="D11" s="2"/>
    </row>
  </sheetData>
  <mergeCells count="3">
    <mergeCell ref="A1:D1"/>
    <mergeCell ref="A10:D10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2026-06-24T10:28:07Z</dcterms:created>
  <dc:creator>openpyxl</dc:creator>
  <dc:description/>
  <dc:language>en-US</dc:language>
  <cp:lastModifiedBy/>
  <dcterms:modified xsi:type="dcterms:W3CDTF">2026-06-24T10:28:07Z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